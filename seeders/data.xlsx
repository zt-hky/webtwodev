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93CD6820-681C-410C-A089-4BA1F5C3BD2E}" xr6:coauthVersionLast="43" xr6:coauthVersionMax="43" xr10:uidLastSave="{00000000-0000-0000-0000-000000000000}"/>
  <bookViews>
    <workbookView xWindow="-120" yWindow="-120" windowWidth="20730" windowHeight="11310" firstSheet="1" activeTab="4" xr2:uid="{00000000-000D-0000-FFFF-FFFF00000000}"/>
  </bookViews>
  <sheets>
    <sheet name="GenreFilm" sheetId="1" r:id="rId1"/>
    <sheet name="Film" sheetId="2" r:id="rId2"/>
    <sheet name="City" sheetId="3" r:id="rId3"/>
    <sheet name="ThreatreType" sheetId="4" r:id="rId4"/>
    <sheet name="ThreatreSet" sheetId="6" r:id="rId5"/>
    <sheet name="Threatre" sheetId="7" r:id="rId6"/>
    <sheet name="User" sheetId="5" r:id="rId7"/>
    <sheet name="ShowTim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8" l="1"/>
  <c r="E2" i="8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</calcChain>
</file>

<file path=xl/sharedStrings.xml><?xml version="1.0" encoding="utf-8"?>
<sst xmlns="http://schemas.openxmlformats.org/spreadsheetml/2006/main" count="283" uniqueCount="120">
  <si>
    <t>id</t>
  </si>
  <si>
    <t>name</t>
  </si>
  <si>
    <t>Hoạt hình</t>
  </si>
  <si>
    <t>Kinh dị</t>
  </si>
  <si>
    <t>Tình cảm</t>
  </si>
  <si>
    <t>Hành động</t>
  </si>
  <si>
    <t>Khoa học viễn tưởng</t>
  </si>
  <si>
    <t>Siêu anh hùng</t>
  </si>
  <si>
    <t>Hài</t>
  </si>
  <si>
    <t>poster</t>
  </si>
  <si>
    <t>content</t>
  </si>
  <si>
    <t>release</t>
  </si>
  <si>
    <t>duration</t>
  </si>
  <si>
    <t>studio</t>
  </si>
  <si>
    <t>Đẳng cấp thú cưng</t>
  </si>
  <si>
    <t>Đặc vụ áo đen</t>
  </si>
  <si>
    <t>X-men: Dark Phoenix</t>
  </si>
  <si>
    <t>Thợ săn thành phố</t>
  </si>
  <si>
    <t>Vua khủng long</t>
  </si>
  <si>
    <t>film-1</t>
  </si>
  <si>
    <t>film-2</t>
  </si>
  <si>
    <t>film-3</t>
  </si>
  <si>
    <t>film-4</t>
  </si>
  <si>
    <t>film-5</t>
  </si>
  <si>
    <t>2019-06-14</t>
  </si>
  <si>
    <t>2019-06-07</t>
  </si>
  <si>
    <t>Marvel</t>
  </si>
  <si>
    <t>Fox</t>
  </si>
  <si>
    <t>Japan</t>
  </si>
  <si>
    <t>Diskney</t>
  </si>
  <si>
    <t>Hà Nội</t>
  </si>
  <si>
    <t>TP. Hồ Chí Minh</t>
  </si>
  <si>
    <t>Đà Nẵng</t>
  </si>
  <si>
    <t>Hải Phòng</t>
  </si>
  <si>
    <t>Bến Tre</t>
  </si>
  <si>
    <t>Tiền Giang</t>
  </si>
  <si>
    <t>Tây Ninh</t>
  </si>
  <si>
    <t>Lâm Đồng</t>
  </si>
  <si>
    <t>price</t>
  </si>
  <si>
    <t>IMAX-3D</t>
  </si>
  <si>
    <t>IMAX-2D</t>
  </si>
  <si>
    <t>3D</t>
  </si>
  <si>
    <t>2D</t>
  </si>
  <si>
    <t>4DX</t>
  </si>
  <si>
    <t>Gold Class</t>
  </si>
  <si>
    <t>Dolby Atmos</t>
  </si>
  <si>
    <t>Screen X</t>
  </si>
  <si>
    <t>email</t>
  </si>
  <si>
    <t>password</t>
  </si>
  <si>
    <t>phone</t>
  </si>
  <si>
    <t>val</t>
  </si>
  <si>
    <t>uuid</t>
  </si>
  <si>
    <t>hongkynguyen156@gmail.com</t>
  </si>
  <si>
    <t>$2b$10$plDH2tDdybL7Oexzv6/XYOvVOoJ2fXCIEaxC9hLJgDrdW7X65Lzgu</t>
  </si>
  <si>
    <t>location</t>
  </si>
  <si>
    <t>CityId</t>
  </si>
  <si>
    <t>Big Trường Chinh</t>
  </si>
  <si>
    <t>Vạn Hạnh Mall</t>
  </si>
  <si>
    <t>LandMark 81</t>
  </si>
  <si>
    <t>Phú Thọ</t>
  </si>
  <si>
    <t>Tân Bình</t>
  </si>
  <si>
    <t>Aeon Mall Tân Bình</t>
  </si>
  <si>
    <t>Hùng Vương lazza</t>
  </si>
  <si>
    <t>Now Zone</t>
  </si>
  <si>
    <t>Long Biên</t>
  </si>
  <si>
    <t>Kim Biên</t>
  </si>
  <si>
    <t>Lý Thái Tổ</t>
  </si>
  <si>
    <t>số 12 đường ABC</t>
  </si>
  <si>
    <t>row</t>
  </si>
  <si>
    <t>column</t>
  </si>
  <si>
    <t>ThreatreSetId</t>
  </si>
  <si>
    <t>ThreatreTypeId</t>
  </si>
  <si>
    <t>Rạp 1</t>
  </si>
  <si>
    <t>Rạp 2</t>
  </si>
  <si>
    <t>Rạp 3</t>
  </si>
  <si>
    <t>Rạp 4</t>
  </si>
  <si>
    <t>Rạp 5</t>
  </si>
  <si>
    <t>Rạp 6</t>
  </si>
  <si>
    <t>Rạp 7</t>
  </si>
  <si>
    <t>Rạp 8</t>
  </si>
  <si>
    <t>Rạp 9</t>
  </si>
  <si>
    <t>Rạp 10</t>
  </si>
  <si>
    <t>Rạp 11</t>
  </si>
  <si>
    <t>Rạp 12</t>
  </si>
  <si>
    <t>time</t>
  </si>
  <si>
    <t>date</t>
  </si>
  <si>
    <t>FilmID</t>
  </si>
  <si>
    <t>ThreatreId</t>
  </si>
  <si>
    <t>2019-06-17</t>
  </si>
  <si>
    <t>2019-06-18</t>
  </si>
  <si>
    <t>2019-06-19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</si>
  <si>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</si>
  <si>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</si>
  <si>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</si>
  <si>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</si>
  <si>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</si>
  <si>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</si>
  <si>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</si>
  <si>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</si>
  <si>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</si>
  <si>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</si>
  <si>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</si>
  <si>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</si>
  <si>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</si>
  <si>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</si>
  <si>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</si>
  <si>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</si>
  <si>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</si>
  <si>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</si>
  <si>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</si>
  <si>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</si>
  <si>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</si>
  <si>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</si>
  <si>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</si>
  <si>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</si>
  <si>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createdAt</t>
  </si>
  <si>
    <t>now</t>
  </si>
  <si>
    <t>updatedAt</t>
  </si>
  <si>
    <t>delete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</si>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</sst>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quotePrefix="1" applyNumberFormat="1"/>
    <xf numFmtId="0" fontId="0" fillId="0" borderId="0" xfId="0" quotePrefix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hongkynguyen1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opLeftCell="A3" workbookViewId="0">
      <selection activeCell="E15" sqref="E15"/>
    </sheetView>
  </sheetViews>
  <sheetFormatPr defaultRowHeight="15" x14ac:dyDescent="0.25"/>
  <cols>
    <col min="1" max="1" width="15.28515625" customWidth="1"/>
    <col min="2" max="2" width="2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20B1-CCFA-436B-BB6F-37B53D8B9676}">
  <dimension ref="A1:J6"/>
  <sheetViews>
    <sheetView workbookViewId="0">
      <selection activeCell="E10" sqref="E10"/>
    </sheetView>
  </sheetViews>
  <sheetFormatPr defaultRowHeight="15" x14ac:dyDescent="0.25"/>
  <cols>
    <col min="2" max="2" width="22.7109375" customWidth="1"/>
    <col min="4" max="4" width="24" customWidth="1"/>
    <col min="5" max="5" width="14.42578125" customWidth="1"/>
    <col min="6" max="6" width="15.5703125" customWidth="1"/>
  </cols>
  <sheetData>
    <row r="1" spans="1:10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118</v>
      </c>
      <c r="I1" t="s">
        <v>115</v>
      </c>
      <c r="J1" t="s">
        <v>117</v>
      </c>
    </row>
    <row r="2" spans="1:10" x14ac:dyDescent="0.25">
      <c r="A2">
        <v>11</v>
      </c>
      <c r="B2" t="s">
        <v>14</v>
      </c>
      <c r="C2" t="s">
        <v>19</v>
      </c>
      <c r="D2" t="s">
        <v>14</v>
      </c>
      <c r="E2" s="1" t="s">
        <v>25</v>
      </c>
      <c r="F2">
        <v>125</v>
      </c>
      <c r="G2" t="s">
        <v>29</v>
      </c>
      <c r="H2" s="2" t="s">
        <v>119</v>
      </c>
      <c r="I2" t="s">
        <v>116</v>
      </c>
      <c r="J2" t="s">
        <v>116</v>
      </c>
    </row>
    <row r="3" spans="1:10" x14ac:dyDescent="0.25">
      <c r="A3">
        <v>12</v>
      </c>
      <c r="B3" t="s">
        <v>15</v>
      </c>
      <c r="C3" t="s">
        <v>20</v>
      </c>
      <c r="D3" t="s">
        <v>15</v>
      </c>
      <c r="E3" s="2" t="s">
        <v>24</v>
      </c>
      <c r="F3">
        <v>130</v>
      </c>
      <c r="G3" t="s">
        <v>26</v>
      </c>
      <c r="H3" s="2" t="s">
        <v>119</v>
      </c>
      <c r="I3" t="s">
        <v>116</v>
      </c>
      <c r="J3" t="s">
        <v>116</v>
      </c>
    </row>
    <row r="4" spans="1:10" x14ac:dyDescent="0.25">
      <c r="A4">
        <v>13</v>
      </c>
      <c r="B4" t="s">
        <v>16</v>
      </c>
      <c r="C4" t="s">
        <v>21</v>
      </c>
      <c r="D4" t="s">
        <v>16</v>
      </c>
      <c r="E4" s="2" t="s">
        <v>25</v>
      </c>
      <c r="F4">
        <v>145</v>
      </c>
      <c r="G4" t="s">
        <v>27</v>
      </c>
      <c r="H4" s="2" t="s">
        <v>119</v>
      </c>
      <c r="I4" t="s">
        <v>116</v>
      </c>
      <c r="J4" t="s">
        <v>116</v>
      </c>
    </row>
    <row r="5" spans="1:10" x14ac:dyDescent="0.25">
      <c r="A5">
        <v>14</v>
      </c>
      <c r="B5" t="s">
        <v>17</v>
      </c>
      <c r="C5" t="s">
        <v>22</v>
      </c>
      <c r="D5" t="s">
        <v>17</v>
      </c>
      <c r="E5" s="2" t="s">
        <v>24</v>
      </c>
      <c r="F5">
        <v>120</v>
      </c>
      <c r="G5" t="s">
        <v>28</v>
      </c>
      <c r="H5" s="2" t="s">
        <v>119</v>
      </c>
      <c r="I5" t="s">
        <v>116</v>
      </c>
      <c r="J5" t="s">
        <v>116</v>
      </c>
    </row>
    <row r="6" spans="1:10" x14ac:dyDescent="0.25">
      <c r="A6">
        <v>15</v>
      </c>
      <c r="B6" t="s">
        <v>18</v>
      </c>
      <c r="C6" t="s">
        <v>23</v>
      </c>
      <c r="D6" t="s">
        <v>18</v>
      </c>
      <c r="E6" s="2" t="s">
        <v>24</v>
      </c>
      <c r="F6">
        <v>95</v>
      </c>
      <c r="G6" t="s">
        <v>29</v>
      </c>
      <c r="H6" s="2" t="s">
        <v>119</v>
      </c>
      <c r="I6" t="s">
        <v>116</v>
      </c>
      <c r="J6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5DBF-A984-4286-AF2F-1F016AD289FD}">
  <dimension ref="A1:E9"/>
  <sheetViews>
    <sheetView workbookViewId="0">
      <selection activeCell="C1" sqref="C1:E2"/>
    </sheetView>
  </sheetViews>
  <sheetFormatPr defaultRowHeight="15" x14ac:dyDescent="0.25"/>
  <cols>
    <col min="2" max="2" width="22.7109375" customWidth="1"/>
    <col min="3" max="3" width="19.140625" customWidth="1"/>
    <col min="4" max="4" width="15" customWidth="1"/>
  </cols>
  <sheetData>
    <row r="1" spans="1:5" x14ac:dyDescent="0.25">
      <c r="A1" t="s">
        <v>0</v>
      </c>
      <c r="B1" t="s">
        <v>1</v>
      </c>
      <c r="C1" t="s">
        <v>115</v>
      </c>
      <c r="D1" t="s">
        <v>117</v>
      </c>
      <c r="E1" t="s">
        <v>118</v>
      </c>
    </row>
    <row r="2" spans="1:5" x14ac:dyDescent="0.25">
      <c r="A2">
        <v>3</v>
      </c>
      <c r="B2" t="s">
        <v>30</v>
      </c>
      <c r="C2" t="s">
        <v>116</v>
      </c>
      <c r="D2" t="s">
        <v>116</v>
      </c>
      <c r="E2" s="2" t="s">
        <v>119</v>
      </c>
    </row>
    <row r="3" spans="1:5" x14ac:dyDescent="0.25">
      <c r="A3">
        <v>4</v>
      </c>
      <c r="B3" t="s">
        <v>31</v>
      </c>
      <c r="C3" t="s">
        <v>116</v>
      </c>
      <c r="D3" t="s">
        <v>116</v>
      </c>
      <c r="E3" s="2" t="s">
        <v>119</v>
      </c>
    </row>
    <row r="4" spans="1:5" x14ac:dyDescent="0.25">
      <c r="A4">
        <v>5</v>
      </c>
      <c r="B4" t="s">
        <v>32</v>
      </c>
      <c r="C4" t="s">
        <v>116</v>
      </c>
      <c r="D4" t="s">
        <v>116</v>
      </c>
      <c r="E4" s="2" t="s">
        <v>119</v>
      </c>
    </row>
    <row r="5" spans="1:5" x14ac:dyDescent="0.25">
      <c r="A5">
        <v>6</v>
      </c>
      <c r="B5" t="s">
        <v>33</v>
      </c>
      <c r="C5" t="s">
        <v>116</v>
      </c>
      <c r="D5" t="s">
        <v>116</v>
      </c>
      <c r="E5" s="2" t="s">
        <v>119</v>
      </c>
    </row>
    <row r="6" spans="1:5" x14ac:dyDescent="0.25">
      <c r="A6">
        <v>7</v>
      </c>
      <c r="B6" t="s">
        <v>34</v>
      </c>
      <c r="C6" t="s">
        <v>116</v>
      </c>
      <c r="D6" t="s">
        <v>116</v>
      </c>
      <c r="E6" s="2" t="s">
        <v>119</v>
      </c>
    </row>
    <row r="7" spans="1:5" x14ac:dyDescent="0.25">
      <c r="A7">
        <v>8</v>
      </c>
      <c r="B7" t="s">
        <v>35</v>
      </c>
      <c r="C7" t="s">
        <v>116</v>
      </c>
      <c r="D7" t="s">
        <v>116</v>
      </c>
      <c r="E7" s="2" t="s">
        <v>119</v>
      </c>
    </row>
    <row r="8" spans="1:5" x14ac:dyDescent="0.25">
      <c r="A8">
        <v>9</v>
      </c>
      <c r="B8" t="s">
        <v>36</v>
      </c>
      <c r="C8" t="s">
        <v>116</v>
      </c>
      <c r="D8" t="s">
        <v>116</v>
      </c>
      <c r="E8" s="2" t="s">
        <v>119</v>
      </c>
    </row>
    <row r="9" spans="1:5" x14ac:dyDescent="0.25">
      <c r="A9">
        <v>10</v>
      </c>
      <c r="B9" t="s">
        <v>37</v>
      </c>
      <c r="C9" t="s">
        <v>116</v>
      </c>
      <c r="D9" t="s">
        <v>116</v>
      </c>
      <c r="E9" s="2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1C87-A188-4B7B-B4FA-9AF293961326}">
  <dimension ref="A1:D9"/>
  <sheetViews>
    <sheetView workbookViewId="0">
      <selection activeCell="E9" sqref="E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10</v>
      </c>
      <c r="D1" t="s">
        <v>38</v>
      </c>
    </row>
    <row r="2" spans="1:4" x14ac:dyDescent="0.25">
      <c r="A2">
        <v>1</v>
      </c>
      <c r="B2" t="s">
        <v>39</v>
      </c>
      <c r="D2">
        <v>250000</v>
      </c>
    </row>
    <row r="3" spans="1:4" x14ac:dyDescent="0.25">
      <c r="A3">
        <v>2</v>
      </c>
      <c r="B3" t="s">
        <v>40</v>
      </c>
      <c r="D3">
        <v>140000</v>
      </c>
    </row>
    <row r="4" spans="1:4" x14ac:dyDescent="0.25">
      <c r="A4">
        <v>3</v>
      </c>
      <c r="B4" t="s">
        <v>41</v>
      </c>
      <c r="D4">
        <v>90000</v>
      </c>
    </row>
    <row r="5" spans="1:4" x14ac:dyDescent="0.25">
      <c r="A5">
        <v>4</v>
      </c>
      <c r="B5" t="s">
        <v>42</v>
      </c>
      <c r="D5">
        <v>45000</v>
      </c>
    </row>
    <row r="6" spans="1:4" x14ac:dyDescent="0.25">
      <c r="A6">
        <v>5</v>
      </c>
      <c r="B6" t="s">
        <v>43</v>
      </c>
      <c r="D6">
        <v>130000</v>
      </c>
    </row>
    <row r="7" spans="1:4" x14ac:dyDescent="0.25">
      <c r="A7">
        <v>6</v>
      </c>
      <c r="B7" t="s">
        <v>44</v>
      </c>
      <c r="D7">
        <v>300000</v>
      </c>
    </row>
    <row r="8" spans="1:4" x14ac:dyDescent="0.25">
      <c r="A8">
        <v>7</v>
      </c>
      <c r="B8" t="s">
        <v>45</v>
      </c>
      <c r="D8">
        <v>110000</v>
      </c>
    </row>
    <row r="9" spans="1:4" x14ac:dyDescent="0.25">
      <c r="A9">
        <v>8</v>
      </c>
      <c r="B9" t="s">
        <v>46</v>
      </c>
      <c r="D9">
        <v>160000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23FC-383C-4C5F-9E92-B14227281E76}">
  <dimension ref="A1:H13"/>
  <sheetViews>
    <sheetView tabSelected="1" workbookViewId="0">
      <selection activeCell="H7" sqref="H7"/>
    </sheetView>
  </sheetViews>
  <sheetFormatPr defaultRowHeight="15" x14ac:dyDescent="0.25"/>
  <cols>
    <col min="2" max="2" width="26.85546875" customWidth="1"/>
    <col min="3" max="3" width="33.7109375" customWidth="1"/>
  </cols>
  <sheetData>
    <row r="1" spans="1:8" x14ac:dyDescent="0.25">
      <c r="A1" t="s">
        <v>0</v>
      </c>
      <c r="B1" t="s">
        <v>1</v>
      </c>
      <c r="C1" t="s">
        <v>54</v>
      </c>
      <c r="D1" t="s">
        <v>55</v>
      </c>
      <c r="E1" t="s">
        <v>115</v>
      </c>
      <c r="F1" t="s">
        <v>117</v>
      </c>
      <c r="G1" t="s">
        <v>118</v>
      </c>
    </row>
    <row r="2" spans="1:8" x14ac:dyDescent="0.25">
      <c r="A2">
        <v>12</v>
      </c>
      <c r="B2" t="s">
        <v>56</v>
      </c>
      <c r="C2" t="s">
        <v>67</v>
      </c>
      <c r="D2">
        <v>2</v>
      </c>
      <c r="E2" t="s">
        <v>116</v>
      </c>
      <c r="F2" t="s">
        <v>116</v>
      </c>
      <c r="G2" s="2" t="s">
        <v>119</v>
      </c>
      <c r="H2">
        <v>131</v>
      </c>
    </row>
    <row r="3" spans="1:8" x14ac:dyDescent="0.25">
      <c r="A3">
        <v>2</v>
      </c>
      <c r="B3" t="s">
        <v>57</v>
      </c>
      <c r="C3" t="s">
        <v>67</v>
      </c>
      <c r="D3">
        <v>2</v>
      </c>
      <c r="E3" t="s">
        <v>116</v>
      </c>
      <c r="F3" t="s">
        <v>116</v>
      </c>
      <c r="G3" s="2" t="s">
        <v>119</v>
      </c>
      <c r="H3">
        <v>131</v>
      </c>
    </row>
    <row r="4" spans="1:8" x14ac:dyDescent="0.25">
      <c r="A4">
        <v>3</v>
      </c>
      <c r="B4" t="s">
        <v>58</v>
      </c>
      <c r="C4" t="s">
        <v>67</v>
      </c>
      <c r="D4">
        <v>2</v>
      </c>
      <c r="E4" t="s">
        <v>116</v>
      </c>
      <c r="F4" t="s">
        <v>116</v>
      </c>
      <c r="G4" s="2" t="s">
        <v>119</v>
      </c>
      <c r="H4">
        <v>131</v>
      </c>
    </row>
    <row r="5" spans="1:8" x14ac:dyDescent="0.25">
      <c r="A5">
        <v>4</v>
      </c>
      <c r="B5" t="s">
        <v>59</v>
      </c>
      <c r="C5" t="s">
        <v>67</v>
      </c>
      <c r="D5">
        <v>2</v>
      </c>
      <c r="E5" t="s">
        <v>116</v>
      </c>
      <c r="F5" t="s">
        <v>116</v>
      </c>
      <c r="G5" s="2" t="s">
        <v>119</v>
      </c>
      <c r="H5">
        <v>131</v>
      </c>
    </row>
    <row r="6" spans="1:8" x14ac:dyDescent="0.25">
      <c r="A6">
        <v>5</v>
      </c>
      <c r="B6" t="s">
        <v>60</v>
      </c>
      <c r="C6" t="s">
        <v>67</v>
      </c>
      <c r="D6">
        <v>2</v>
      </c>
      <c r="E6" t="s">
        <v>116</v>
      </c>
      <c r="F6" t="s">
        <v>116</v>
      </c>
      <c r="G6" s="2" t="s">
        <v>119</v>
      </c>
      <c r="H6">
        <v>131</v>
      </c>
    </row>
    <row r="7" spans="1:8" x14ac:dyDescent="0.25">
      <c r="A7">
        <v>6</v>
      </c>
      <c r="B7" t="s">
        <v>61</v>
      </c>
      <c r="C7" t="s">
        <v>67</v>
      </c>
      <c r="D7">
        <v>2</v>
      </c>
      <c r="E7" t="s">
        <v>116</v>
      </c>
      <c r="F7" t="s">
        <v>116</v>
      </c>
      <c r="G7" s="2" t="s">
        <v>119</v>
      </c>
      <c r="H7">
        <v>131</v>
      </c>
    </row>
    <row r="8" spans="1:8" x14ac:dyDescent="0.25">
      <c r="A8">
        <v>7</v>
      </c>
      <c r="B8" t="s">
        <v>62</v>
      </c>
      <c r="C8" t="s">
        <v>67</v>
      </c>
      <c r="D8">
        <v>2</v>
      </c>
      <c r="E8" t="s">
        <v>116</v>
      </c>
      <c r="F8" t="s">
        <v>116</v>
      </c>
      <c r="G8" s="2" t="s">
        <v>119</v>
      </c>
      <c r="H8">
        <v>131</v>
      </c>
    </row>
    <row r="9" spans="1:8" x14ac:dyDescent="0.25">
      <c r="A9">
        <v>8</v>
      </c>
      <c r="B9" t="s">
        <v>63</v>
      </c>
      <c r="C9" t="s">
        <v>67</v>
      </c>
      <c r="D9">
        <v>2</v>
      </c>
      <c r="E9" t="s">
        <v>116</v>
      </c>
      <c r="F9" t="s">
        <v>116</v>
      </c>
      <c r="G9" s="2" t="s">
        <v>119</v>
      </c>
      <c r="H9">
        <v>131</v>
      </c>
    </row>
    <row r="10" spans="1:8" x14ac:dyDescent="0.25">
      <c r="A10">
        <v>9</v>
      </c>
      <c r="B10" t="s">
        <v>64</v>
      </c>
      <c r="C10" t="s">
        <v>67</v>
      </c>
      <c r="D10">
        <v>2</v>
      </c>
      <c r="E10" t="s">
        <v>116</v>
      </c>
      <c r="F10" t="s">
        <v>116</v>
      </c>
      <c r="G10" s="2" t="s">
        <v>119</v>
      </c>
      <c r="H10">
        <v>131</v>
      </c>
    </row>
    <row r="11" spans="1:8" x14ac:dyDescent="0.25">
      <c r="A11">
        <v>10</v>
      </c>
      <c r="B11" t="s">
        <v>65</v>
      </c>
      <c r="C11" t="s">
        <v>67</v>
      </c>
      <c r="D11">
        <v>2</v>
      </c>
      <c r="E11" t="s">
        <v>116</v>
      </c>
      <c r="F11" t="s">
        <v>116</v>
      </c>
      <c r="G11" s="2" t="s">
        <v>119</v>
      </c>
      <c r="H11">
        <v>131</v>
      </c>
    </row>
    <row r="12" spans="1:8" x14ac:dyDescent="0.25">
      <c r="A12">
        <v>11</v>
      </c>
      <c r="B12" t="s">
        <v>66</v>
      </c>
      <c r="C12" t="s">
        <v>67</v>
      </c>
      <c r="D12">
        <v>2</v>
      </c>
      <c r="E12" t="s">
        <v>116</v>
      </c>
      <c r="F12" t="s">
        <v>116</v>
      </c>
      <c r="G12" s="2" t="s">
        <v>119</v>
      </c>
      <c r="H12">
        <v>131</v>
      </c>
    </row>
    <row r="13" spans="1:8" x14ac:dyDescent="0.25">
      <c r="G13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249A-7155-405B-96D8-B67801A46FE6}">
  <dimension ref="A1:F13"/>
  <sheetViews>
    <sheetView workbookViewId="0">
      <selection activeCell="E10" sqref="E10"/>
    </sheetView>
  </sheetViews>
  <sheetFormatPr defaultRowHeight="15" x14ac:dyDescent="0.25"/>
  <cols>
    <col min="2" max="2" width="15.5703125" customWidth="1"/>
    <col min="5" max="6" width="19.28515625" customWidth="1"/>
  </cols>
  <sheetData>
    <row r="1" spans="1:6" x14ac:dyDescent="0.25">
      <c r="A1" t="s">
        <v>0</v>
      </c>
      <c r="B1" t="s">
        <v>1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25">
      <c r="A2">
        <v>1</v>
      </c>
      <c r="B2" t="s">
        <v>72</v>
      </c>
      <c r="C2">
        <v>12</v>
      </c>
      <c r="D2">
        <v>12</v>
      </c>
      <c r="E2">
        <v>1</v>
      </c>
      <c r="F2">
        <v>2</v>
      </c>
    </row>
    <row r="3" spans="1:6" x14ac:dyDescent="0.25">
      <c r="A3">
        <v>2</v>
      </c>
      <c r="B3" t="s">
        <v>73</v>
      </c>
      <c r="C3">
        <v>14</v>
      </c>
      <c r="D3">
        <v>12</v>
      </c>
      <c r="E3">
        <v>2</v>
      </c>
      <c r="F3">
        <v>1</v>
      </c>
    </row>
    <row r="4" spans="1:6" x14ac:dyDescent="0.25">
      <c r="A4">
        <v>3</v>
      </c>
      <c r="B4" t="s">
        <v>74</v>
      </c>
      <c r="C4">
        <v>10</v>
      </c>
      <c r="D4">
        <v>12</v>
      </c>
      <c r="E4">
        <v>1</v>
      </c>
      <c r="F4">
        <v>3</v>
      </c>
    </row>
    <row r="5" spans="1:6" x14ac:dyDescent="0.25">
      <c r="A5">
        <v>4</v>
      </c>
      <c r="B5" t="s">
        <v>75</v>
      </c>
      <c r="C5">
        <v>6</v>
      </c>
      <c r="D5">
        <v>12</v>
      </c>
      <c r="E5">
        <v>2</v>
      </c>
      <c r="F5">
        <v>3</v>
      </c>
    </row>
    <row r="6" spans="1:6" x14ac:dyDescent="0.25">
      <c r="A6">
        <v>5</v>
      </c>
      <c r="B6" t="s">
        <v>76</v>
      </c>
      <c r="C6">
        <v>12</v>
      </c>
      <c r="D6">
        <v>12</v>
      </c>
      <c r="E6">
        <v>2</v>
      </c>
      <c r="F6">
        <v>1</v>
      </c>
    </row>
    <row r="7" spans="1:6" x14ac:dyDescent="0.25">
      <c r="A7">
        <v>6</v>
      </c>
      <c r="B7" t="s">
        <v>77</v>
      </c>
      <c r="C7">
        <v>14</v>
      </c>
      <c r="D7">
        <v>12</v>
      </c>
      <c r="E7">
        <v>4</v>
      </c>
      <c r="F7">
        <v>1</v>
      </c>
    </row>
    <row r="8" spans="1:6" x14ac:dyDescent="0.25">
      <c r="A8">
        <v>7</v>
      </c>
      <c r="B8" t="s">
        <v>78</v>
      </c>
      <c r="C8">
        <v>10</v>
      </c>
      <c r="D8">
        <v>10</v>
      </c>
      <c r="E8">
        <v>5</v>
      </c>
      <c r="F8">
        <v>1</v>
      </c>
    </row>
    <row r="9" spans="1:6" x14ac:dyDescent="0.25">
      <c r="A9">
        <v>8</v>
      </c>
      <c r="B9" t="s">
        <v>79</v>
      </c>
      <c r="C9">
        <v>6</v>
      </c>
      <c r="D9">
        <v>10</v>
      </c>
      <c r="E9">
        <v>5</v>
      </c>
      <c r="F9">
        <v>2</v>
      </c>
    </row>
    <row r="10" spans="1:6" x14ac:dyDescent="0.25">
      <c r="A10">
        <v>9</v>
      </c>
      <c r="B10" t="s">
        <v>80</v>
      </c>
      <c r="C10">
        <v>12</v>
      </c>
      <c r="D10">
        <v>10</v>
      </c>
      <c r="E10">
        <v>5</v>
      </c>
      <c r="F10">
        <v>1</v>
      </c>
    </row>
    <row r="11" spans="1:6" x14ac:dyDescent="0.25">
      <c r="A11">
        <v>10</v>
      </c>
      <c r="B11" t="s">
        <v>81</v>
      </c>
      <c r="C11">
        <v>14</v>
      </c>
      <c r="D11">
        <v>10</v>
      </c>
      <c r="E11">
        <v>6</v>
      </c>
      <c r="F11">
        <v>2</v>
      </c>
    </row>
    <row r="12" spans="1:6" x14ac:dyDescent="0.25">
      <c r="A12">
        <v>11</v>
      </c>
      <c r="B12" t="s">
        <v>82</v>
      </c>
      <c r="C12">
        <v>10</v>
      </c>
      <c r="D12">
        <v>10</v>
      </c>
      <c r="E12">
        <v>1</v>
      </c>
      <c r="F12">
        <v>4</v>
      </c>
    </row>
    <row r="13" spans="1:6" x14ac:dyDescent="0.25">
      <c r="A13">
        <v>12</v>
      </c>
      <c r="B13" t="s">
        <v>83</v>
      </c>
      <c r="C13">
        <v>6</v>
      </c>
      <c r="D13">
        <v>10</v>
      </c>
      <c r="E13">
        <v>1</v>
      </c>
      <c r="F13">
        <v>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FBAF-A924-4B9F-820F-8735DEF622B7}">
  <dimension ref="A1:F2"/>
  <sheetViews>
    <sheetView workbookViewId="0">
      <selection activeCell="C2" sqref="C2"/>
    </sheetView>
  </sheetViews>
  <sheetFormatPr defaultRowHeight="15" x14ac:dyDescent="0.25"/>
  <cols>
    <col min="2" max="2" width="63.5703125" customWidth="1"/>
    <col min="3" max="3" width="38.7109375" customWidth="1"/>
    <col min="4" max="4" width="10" bestFit="1" customWidth="1"/>
  </cols>
  <sheetData>
    <row r="1" spans="1:6" x14ac:dyDescent="0.25">
      <c r="A1" t="s">
        <v>47</v>
      </c>
      <c r="B1" t="s">
        <v>48</v>
      </c>
      <c r="C1" t="s">
        <v>1</v>
      </c>
      <c r="D1" t="s">
        <v>49</v>
      </c>
      <c r="E1" t="s">
        <v>50</v>
      </c>
      <c r="F1" t="s">
        <v>51</v>
      </c>
    </row>
    <row r="2" spans="1:6" x14ac:dyDescent="0.25">
      <c r="A2" s="3" t="s">
        <v>52</v>
      </c>
      <c r="B2" t="s">
        <v>53</v>
      </c>
      <c r="D2">
        <v>326661669</v>
      </c>
      <c r="E2" t="b">
        <v>1</v>
      </c>
    </row>
  </sheetData>
  <hyperlinks>
    <hyperlink ref="A2" r:id="rId1" xr:uid="{671F78CF-06BF-4467-9E1F-20BD64B402F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C48D-D1FC-4F2C-AC66-6D0135F3B4F6}">
  <dimension ref="A1:E42"/>
  <sheetViews>
    <sheetView workbookViewId="0">
      <selection activeCell="H10" sqref="H10"/>
    </sheetView>
  </sheetViews>
  <sheetFormatPr defaultRowHeight="15" x14ac:dyDescent="0.25"/>
  <cols>
    <col min="1" max="1" width="13" customWidth="1"/>
    <col min="2" max="2" width="18" customWidth="1"/>
    <col min="3" max="3" width="14.42578125" customWidth="1"/>
  </cols>
  <sheetData>
    <row r="1" spans="1:5" x14ac:dyDescent="0.25">
      <c r="A1" t="s">
        <v>0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25">
      <c r="A2">
        <v>1</v>
      </c>
      <c r="B2" s="4" t="s">
        <v>91</v>
      </c>
      <c r="C2" s="2" t="s">
        <v>88</v>
      </c>
      <c r="D2">
        <f ca="1">RANDBETWEEN(1,5)</f>
        <v>5</v>
      </c>
      <c r="E2">
        <f ca="1">RANDBETWEEN(1,12)</f>
        <v>7</v>
      </c>
    </row>
    <row r="3" spans="1:5" x14ac:dyDescent="0.25">
      <c r="A3">
        <v>2</v>
      </c>
      <c r="B3" s="4" t="s">
        <v>92</v>
      </c>
      <c r="C3" s="2" t="s">
        <v>88</v>
      </c>
      <c r="D3">
        <f t="shared" ref="D3:D42" ca="1" si="0">RANDBETWEEN(1,5)</f>
        <v>3</v>
      </c>
      <c r="E3">
        <f t="shared" ref="E3:E42" ca="1" si="1">RANDBETWEEN(1,12)</f>
        <v>2</v>
      </c>
    </row>
    <row r="4" spans="1:5" x14ac:dyDescent="0.25">
      <c r="A4">
        <v>3</v>
      </c>
      <c r="B4" s="4" t="s">
        <v>93</v>
      </c>
      <c r="C4" s="2" t="s">
        <v>88</v>
      </c>
      <c r="D4">
        <f t="shared" ca="1" si="0"/>
        <v>1</v>
      </c>
      <c r="E4">
        <f t="shared" ca="1" si="1"/>
        <v>5</v>
      </c>
    </row>
    <row r="5" spans="1:5" x14ac:dyDescent="0.25">
      <c r="A5">
        <v>4</v>
      </c>
      <c r="B5" s="4" t="s">
        <v>94</v>
      </c>
      <c r="C5" s="2" t="s">
        <v>88</v>
      </c>
      <c r="D5">
        <f t="shared" ca="1" si="0"/>
        <v>4</v>
      </c>
      <c r="E5">
        <f t="shared" ca="1" si="1"/>
        <v>7</v>
      </c>
    </row>
    <row r="6" spans="1:5" x14ac:dyDescent="0.25">
      <c r="A6">
        <v>5</v>
      </c>
      <c r="B6" s="4" t="s">
        <v>95</v>
      </c>
      <c r="C6" s="2" t="s">
        <v>88</v>
      </c>
      <c r="D6">
        <f t="shared" ca="1" si="0"/>
        <v>3</v>
      </c>
      <c r="E6">
        <f t="shared" ca="1" si="1"/>
        <v>12</v>
      </c>
    </row>
    <row r="7" spans="1:5" x14ac:dyDescent="0.25">
      <c r="A7">
        <v>6</v>
      </c>
      <c r="B7" s="4" t="s">
        <v>96</v>
      </c>
      <c r="C7" s="2" t="s">
        <v>88</v>
      </c>
      <c r="D7">
        <f t="shared" ca="1" si="0"/>
        <v>2</v>
      </c>
      <c r="E7">
        <f t="shared" ca="1" si="1"/>
        <v>4</v>
      </c>
    </row>
    <row r="8" spans="1:5" x14ac:dyDescent="0.25">
      <c r="A8">
        <v>7</v>
      </c>
      <c r="B8" s="4" t="s">
        <v>97</v>
      </c>
      <c r="C8" s="2" t="s">
        <v>88</v>
      </c>
      <c r="D8">
        <f t="shared" ca="1" si="0"/>
        <v>2</v>
      </c>
      <c r="E8">
        <f t="shared" ca="1" si="1"/>
        <v>5</v>
      </c>
    </row>
    <row r="9" spans="1:5" x14ac:dyDescent="0.25">
      <c r="A9">
        <v>8</v>
      </c>
      <c r="B9" s="4" t="s">
        <v>98</v>
      </c>
      <c r="C9" s="2" t="s">
        <v>88</v>
      </c>
      <c r="D9">
        <f t="shared" ca="1" si="0"/>
        <v>4</v>
      </c>
      <c r="E9">
        <f t="shared" ca="1" si="1"/>
        <v>9</v>
      </c>
    </row>
    <row r="10" spans="1:5" x14ac:dyDescent="0.25">
      <c r="A10">
        <v>9</v>
      </c>
      <c r="B10" s="4" t="s">
        <v>99</v>
      </c>
      <c r="C10" s="2" t="s">
        <v>88</v>
      </c>
      <c r="D10">
        <f t="shared" ca="1" si="0"/>
        <v>5</v>
      </c>
      <c r="E10">
        <f t="shared" ca="1" si="1"/>
        <v>7</v>
      </c>
    </row>
    <row r="11" spans="1:5" x14ac:dyDescent="0.25">
      <c r="A11">
        <v>10</v>
      </c>
      <c r="B11" s="4" t="s">
        <v>100</v>
      </c>
      <c r="C11" s="2" t="s">
        <v>88</v>
      </c>
      <c r="D11">
        <f t="shared" ca="1" si="0"/>
        <v>5</v>
      </c>
      <c r="E11">
        <f t="shared" ca="1" si="1"/>
        <v>5</v>
      </c>
    </row>
    <row r="12" spans="1:5" x14ac:dyDescent="0.25">
      <c r="A12">
        <v>11</v>
      </c>
      <c r="B12" s="4" t="s">
        <v>101</v>
      </c>
      <c r="C12" s="2" t="s">
        <v>88</v>
      </c>
      <c r="D12">
        <f t="shared" ca="1" si="0"/>
        <v>5</v>
      </c>
      <c r="E12">
        <f t="shared" ca="1" si="1"/>
        <v>1</v>
      </c>
    </row>
    <row r="13" spans="1:5" x14ac:dyDescent="0.25">
      <c r="A13">
        <v>12</v>
      </c>
      <c r="B13" s="4" t="s">
        <v>102</v>
      </c>
      <c r="C13" s="2" t="s">
        <v>88</v>
      </c>
      <c r="D13">
        <f t="shared" ca="1" si="0"/>
        <v>4</v>
      </c>
      <c r="E13">
        <f t="shared" ca="1" si="1"/>
        <v>11</v>
      </c>
    </row>
    <row r="14" spans="1:5" x14ac:dyDescent="0.25">
      <c r="A14">
        <v>13</v>
      </c>
      <c r="B14" s="4" t="s">
        <v>103</v>
      </c>
      <c r="C14" s="2" t="s">
        <v>88</v>
      </c>
      <c r="D14">
        <f t="shared" ca="1" si="0"/>
        <v>3</v>
      </c>
      <c r="E14">
        <f t="shared" ca="1" si="1"/>
        <v>1</v>
      </c>
    </row>
    <row r="15" spans="1:5" x14ac:dyDescent="0.25">
      <c r="A15">
        <v>14</v>
      </c>
      <c r="B15" s="4" t="s">
        <v>104</v>
      </c>
      <c r="C15" s="2" t="s">
        <v>88</v>
      </c>
      <c r="D15">
        <f t="shared" ca="1" si="0"/>
        <v>1</v>
      </c>
      <c r="E15">
        <f t="shared" ca="1" si="1"/>
        <v>3</v>
      </c>
    </row>
    <row r="16" spans="1:5" x14ac:dyDescent="0.25">
      <c r="A16">
        <v>15</v>
      </c>
      <c r="B16" s="4" t="s">
        <v>105</v>
      </c>
      <c r="C16" s="2" t="s">
        <v>89</v>
      </c>
      <c r="D16">
        <f t="shared" ca="1" si="0"/>
        <v>3</v>
      </c>
      <c r="E16">
        <f t="shared" ca="1" si="1"/>
        <v>10</v>
      </c>
    </row>
    <row r="17" spans="1:5" x14ac:dyDescent="0.25">
      <c r="A17">
        <v>16</v>
      </c>
      <c r="B17" s="4" t="s">
        <v>106</v>
      </c>
      <c r="C17" s="2" t="s">
        <v>89</v>
      </c>
      <c r="D17">
        <f t="shared" ca="1" si="0"/>
        <v>1</v>
      </c>
      <c r="E17">
        <f t="shared" ca="1" si="1"/>
        <v>2</v>
      </c>
    </row>
    <row r="18" spans="1:5" x14ac:dyDescent="0.25">
      <c r="A18">
        <v>17</v>
      </c>
      <c r="B18" s="4" t="s">
        <v>107</v>
      </c>
      <c r="C18" s="2" t="s">
        <v>89</v>
      </c>
      <c r="D18">
        <f t="shared" ca="1" si="0"/>
        <v>2</v>
      </c>
      <c r="E18">
        <f t="shared" ca="1" si="1"/>
        <v>8</v>
      </c>
    </row>
    <row r="19" spans="1:5" x14ac:dyDescent="0.25">
      <c r="A19">
        <v>18</v>
      </c>
      <c r="B19" s="4" t="s">
        <v>108</v>
      </c>
      <c r="C19" s="2" t="s">
        <v>89</v>
      </c>
      <c r="D19">
        <f t="shared" ca="1" si="0"/>
        <v>5</v>
      </c>
      <c r="E19">
        <f t="shared" ca="1" si="1"/>
        <v>12</v>
      </c>
    </row>
    <row r="20" spans="1:5" x14ac:dyDescent="0.25">
      <c r="A20">
        <v>19</v>
      </c>
      <c r="B20" s="4" t="s">
        <v>109</v>
      </c>
      <c r="C20" s="2" t="s">
        <v>89</v>
      </c>
      <c r="D20">
        <f t="shared" ca="1" si="0"/>
        <v>4</v>
      </c>
      <c r="E20">
        <f t="shared" ca="1" si="1"/>
        <v>9</v>
      </c>
    </row>
    <row r="21" spans="1:5" x14ac:dyDescent="0.25">
      <c r="A21">
        <v>20</v>
      </c>
      <c r="B21" s="4" t="s">
        <v>110</v>
      </c>
      <c r="C21" s="2" t="s">
        <v>89</v>
      </c>
      <c r="D21">
        <f t="shared" ca="1" si="0"/>
        <v>2</v>
      </c>
      <c r="E21">
        <f t="shared" ca="1" si="1"/>
        <v>7</v>
      </c>
    </row>
    <row r="22" spans="1:5" x14ac:dyDescent="0.25">
      <c r="A22">
        <v>21</v>
      </c>
      <c r="B22" s="4" t="s">
        <v>111</v>
      </c>
      <c r="C22" s="2" t="s">
        <v>89</v>
      </c>
      <c r="D22">
        <f t="shared" ca="1" si="0"/>
        <v>2</v>
      </c>
      <c r="E22">
        <f t="shared" ca="1" si="1"/>
        <v>8</v>
      </c>
    </row>
    <row r="23" spans="1:5" x14ac:dyDescent="0.25">
      <c r="A23">
        <v>22</v>
      </c>
      <c r="B23" s="4" t="s">
        <v>112</v>
      </c>
      <c r="C23" s="2" t="s">
        <v>89</v>
      </c>
      <c r="D23">
        <f t="shared" ca="1" si="0"/>
        <v>1</v>
      </c>
      <c r="E23">
        <f t="shared" ca="1" si="1"/>
        <v>4</v>
      </c>
    </row>
    <row r="24" spans="1:5" x14ac:dyDescent="0.25">
      <c r="A24">
        <v>23</v>
      </c>
      <c r="B24" s="4" t="s">
        <v>113</v>
      </c>
      <c r="C24" s="2" t="s">
        <v>89</v>
      </c>
      <c r="D24">
        <f t="shared" ca="1" si="0"/>
        <v>3</v>
      </c>
      <c r="E24">
        <f t="shared" ca="1" si="1"/>
        <v>7</v>
      </c>
    </row>
    <row r="25" spans="1:5" x14ac:dyDescent="0.25">
      <c r="A25">
        <v>24</v>
      </c>
      <c r="B25" s="4" t="s">
        <v>114</v>
      </c>
      <c r="C25" s="2" t="s">
        <v>89</v>
      </c>
      <c r="D25">
        <f t="shared" ca="1" si="0"/>
        <v>3</v>
      </c>
      <c r="E25">
        <f t="shared" ca="1" si="1"/>
        <v>9</v>
      </c>
    </row>
    <row r="26" spans="1:5" x14ac:dyDescent="0.25">
      <c r="A26">
        <v>25</v>
      </c>
      <c r="B26" s="4" t="s">
        <v>91</v>
      </c>
      <c r="C26" s="2" t="s">
        <v>89</v>
      </c>
      <c r="D26">
        <f t="shared" ca="1" si="0"/>
        <v>4</v>
      </c>
      <c r="E26">
        <f t="shared" ca="1" si="1"/>
        <v>12</v>
      </c>
    </row>
    <row r="27" spans="1:5" x14ac:dyDescent="0.25">
      <c r="A27">
        <v>26</v>
      </c>
      <c r="B27" s="4" t="s">
        <v>92</v>
      </c>
      <c r="C27" s="2" t="s">
        <v>89</v>
      </c>
      <c r="D27">
        <f t="shared" ca="1" si="0"/>
        <v>4</v>
      </c>
      <c r="E27">
        <f t="shared" ca="1" si="1"/>
        <v>2</v>
      </c>
    </row>
    <row r="28" spans="1:5" x14ac:dyDescent="0.25">
      <c r="A28">
        <v>27</v>
      </c>
      <c r="B28" s="4" t="s">
        <v>93</v>
      </c>
      <c r="C28" s="2" t="s">
        <v>89</v>
      </c>
      <c r="D28">
        <f t="shared" ca="1" si="0"/>
        <v>4</v>
      </c>
      <c r="E28">
        <f t="shared" ca="1" si="1"/>
        <v>11</v>
      </c>
    </row>
    <row r="29" spans="1:5" x14ac:dyDescent="0.25">
      <c r="A29">
        <v>28</v>
      </c>
      <c r="B29" s="4" t="s">
        <v>94</v>
      </c>
      <c r="C29" s="2" t="s">
        <v>89</v>
      </c>
      <c r="D29">
        <f t="shared" ca="1" si="0"/>
        <v>3</v>
      </c>
      <c r="E29">
        <f t="shared" ca="1" si="1"/>
        <v>1</v>
      </c>
    </row>
    <row r="30" spans="1:5" x14ac:dyDescent="0.25">
      <c r="A30">
        <v>29</v>
      </c>
      <c r="B30" s="4" t="s">
        <v>95</v>
      </c>
      <c r="C30" s="2" t="s">
        <v>89</v>
      </c>
      <c r="D30">
        <f t="shared" ca="1" si="0"/>
        <v>2</v>
      </c>
      <c r="E30">
        <f t="shared" ca="1" si="1"/>
        <v>4</v>
      </c>
    </row>
    <row r="31" spans="1:5" x14ac:dyDescent="0.25">
      <c r="A31">
        <v>30</v>
      </c>
      <c r="B31" s="4" t="s">
        <v>96</v>
      </c>
      <c r="C31" s="2" t="s">
        <v>90</v>
      </c>
      <c r="D31">
        <f t="shared" ca="1" si="0"/>
        <v>2</v>
      </c>
      <c r="E31">
        <f t="shared" ca="1" si="1"/>
        <v>12</v>
      </c>
    </row>
    <row r="32" spans="1:5" x14ac:dyDescent="0.25">
      <c r="A32">
        <v>31</v>
      </c>
      <c r="B32" s="4" t="s">
        <v>97</v>
      </c>
      <c r="C32" s="2" t="s">
        <v>90</v>
      </c>
      <c r="D32">
        <f t="shared" ca="1" si="0"/>
        <v>2</v>
      </c>
      <c r="E32">
        <f t="shared" ca="1" si="1"/>
        <v>2</v>
      </c>
    </row>
    <row r="33" spans="1:5" x14ac:dyDescent="0.25">
      <c r="A33">
        <v>32</v>
      </c>
      <c r="B33" s="4" t="s">
        <v>98</v>
      </c>
      <c r="C33" s="2" t="s">
        <v>90</v>
      </c>
      <c r="D33">
        <f t="shared" ca="1" si="0"/>
        <v>3</v>
      </c>
      <c r="E33">
        <f t="shared" ca="1" si="1"/>
        <v>7</v>
      </c>
    </row>
    <row r="34" spans="1:5" x14ac:dyDescent="0.25">
      <c r="A34">
        <v>33</v>
      </c>
      <c r="B34" s="4" t="s">
        <v>99</v>
      </c>
      <c r="C34" s="2" t="s">
        <v>90</v>
      </c>
      <c r="D34">
        <f t="shared" ca="1" si="0"/>
        <v>2</v>
      </c>
      <c r="E34">
        <f t="shared" ca="1" si="1"/>
        <v>12</v>
      </c>
    </row>
    <row r="35" spans="1:5" x14ac:dyDescent="0.25">
      <c r="A35">
        <v>34</v>
      </c>
      <c r="B35" s="4" t="s">
        <v>100</v>
      </c>
      <c r="C35" s="2" t="s">
        <v>90</v>
      </c>
      <c r="D35">
        <f t="shared" ca="1" si="0"/>
        <v>5</v>
      </c>
      <c r="E35">
        <f t="shared" ca="1" si="1"/>
        <v>5</v>
      </c>
    </row>
    <row r="36" spans="1:5" x14ac:dyDescent="0.25">
      <c r="A36">
        <v>35</v>
      </c>
      <c r="B36" s="4" t="s">
        <v>101</v>
      </c>
      <c r="C36" s="2" t="s">
        <v>90</v>
      </c>
      <c r="D36">
        <f t="shared" ca="1" si="0"/>
        <v>4</v>
      </c>
      <c r="E36">
        <f t="shared" ca="1" si="1"/>
        <v>7</v>
      </c>
    </row>
    <row r="37" spans="1:5" x14ac:dyDescent="0.25">
      <c r="A37">
        <v>36</v>
      </c>
      <c r="B37" s="4" t="s">
        <v>102</v>
      </c>
      <c r="C37" s="2" t="s">
        <v>90</v>
      </c>
      <c r="D37">
        <f t="shared" ca="1" si="0"/>
        <v>1</v>
      </c>
      <c r="E37">
        <f t="shared" ca="1" si="1"/>
        <v>6</v>
      </c>
    </row>
    <row r="38" spans="1:5" x14ac:dyDescent="0.25">
      <c r="A38">
        <v>37</v>
      </c>
      <c r="B38" s="4" t="s">
        <v>103</v>
      </c>
      <c r="C38" s="2" t="s">
        <v>90</v>
      </c>
      <c r="D38">
        <f t="shared" ca="1" si="0"/>
        <v>4</v>
      </c>
      <c r="E38">
        <f t="shared" ca="1" si="1"/>
        <v>7</v>
      </c>
    </row>
    <row r="39" spans="1:5" x14ac:dyDescent="0.25">
      <c r="A39">
        <v>38</v>
      </c>
      <c r="B39" s="4" t="s">
        <v>104</v>
      </c>
      <c r="C39" s="2" t="s">
        <v>90</v>
      </c>
      <c r="D39">
        <f t="shared" ca="1" si="0"/>
        <v>5</v>
      </c>
      <c r="E39">
        <f t="shared" ca="1" si="1"/>
        <v>7</v>
      </c>
    </row>
    <row r="40" spans="1:5" x14ac:dyDescent="0.25">
      <c r="A40">
        <v>39</v>
      </c>
      <c r="B40" s="4" t="s">
        <v>105</v>
      </c>
      <c r="C40" s="2" t="s">
        <v>90</v>
      </c>
      <c r="D40">
        <f t="shared" ca="1" si="0"/>
        <v>3</v>
      </c>
      <c r="E40">
        <f t="shared" ca="1" si="1"/>
        <v>5</v>
      </c>
    </row>
    <row r="41" spans="1:5" x14ac:dyDescent="0.25">
      <c r="A41">
        <v>40</v>
      </c>
      <c r="B41" s="4" t="s">
        <v>106</v>
      </c>
      <c r="C41" s="2" t="s">
        <v>90</v>
      </c>
      <c r="D41">
        <f t="shared" ca="1" si="0"/>
        <v>5</v>
      </c>
      <c r="E41">
        <f t="shared" ca="1" si="1"/>
        <v>2</v>
      </c>
    </row>
    <row r="42" spans="1:5" x14ac:dyDescent="0.25">
      <c r="A42">
        <v>41</v>
      </c>
      <c r="B42" s="4" t="s">
        <v>107</v>
      </c>
      <c r="C42" s="2" t="s">
        <v>90</v>
      </c>
      <c r="D42">
        <f t="shared" ca="1" si="0"/>
        <v>1</v>
      </c>
      <c r="E42">
        <f t="shared" ca="1" si="1"/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GenreFilm</vt:lpstr>
      <vt:lpstr>Film</vt:lpstr>
      <vt:lpstr>City</vt:lpstr>
      <vt:lpstr>ThreatreType</vt:lpstr>
      <vt:lpstr>ThreatreSet</vt:lpstr>
      <vt:lpstr>Threatre</vt:lpstr>
      <vt:lpstr>User</vt:lpstr>
      <vt:lpstr>ShowTime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2019-06-17T16:08:38Z</dcterms:modified>
</cp:coreProperties>
</file>